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99000964\Desktop\Transição\"/>
    </mc:Choice>
  </mc:AlternateContent>
  <bookViews>
    <workbookView xWindow="0" yWindow="0" windowWidth="28800" windowHeight="12435"/>
  </bookViews>
  <sheets>
    <sheet name="Quadro_Riscos" sheetId="5" r:id="rId1"/>
    <sheet name="Critérios" sheetId="3" r:id="rId2"/>
    <sheet name="Matriz de Riscos" sheetId="4" r:id="rId3"/>
  </sheets>
  <definedNames>
    <definedName name="_xlnm.Print_Area" localSheetId="0">Quadro_Riscos!$A$1:$D$17</definedName>
  </definedNames>
  <calcPr calcId="152511"/>
</workbook>
</file>

<file path=xl/calcChain.xml><?xml version="1.0" encoding="utf-8"?>
<calcChain xmlns="http://schemas.openxmlformats.org/spreadsheetml/2006/main">
  <c r="D12" i="5" l="1"/>
  <c r="D13" i="5" s="1"/>
  <c r="C12" i="5"/>
  <c r="C13" i="5" s="1"/>
  <c r="O12" i="5"/>
  <c r="O13" i="5" s="1"/>
  <c r="B12" i="5"/>
  <c r="B13" i="5" s="1"/>
  <c r="N12" i="5"/>
  <c r="N13" i="5" s="1"/>
  <c r="M12" i="5"/>
  <c r="M13" i="5" s="1"/>
  <c r="L12" i="5"/>
  <c r="L13" i="5" s="1"/>
  <c r="E12" i="5"/>
  <c r="E13" i="5" s="1"/>
  <c r="K12" i="5"/>
  <c r="K13" i="5" s="1"/>
  <c r="J12" i="5"/>
  <c r="J13" i="5" s="1"/>
  <c r="I12" i="5"/>
  <c r="I13" i="5" s="1"/>
  <c r="H12" i="5"/>
  <c r="H13" i="5" s="1"/>
  <c r="G12" i="5"/>
  <c r="G13" i="5" s="1"/>
  <c r="F12" i="5"/>
  <c r="F13" i="5" s="1"/>
  <c r="J16" i="4"/>
  <c r="J15" i="4"/>
  <c r="J14" i="4"/>
  <c r="J13" i="4"/>
  <c r="J12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J6" i="4" l="1"/>
  <c r="J5" i="4"/>
  <c r="J8" i="4"/>
  <c r="J7" i="4"/>
  <c r="J9" i="4" l="1"/>
</calcChain>
</file>

<file path=xl/sharedStrings.xml><?xml version="1.0" encoding="utf-8"?>
<sst xmlns="http://schemas.openxmlformats.org/spreadsheetml/2006/main" count="261" uniqueCount="188">
  <si>
    <t>ID</t>
  </si>
  <si>
    <t>Categoria</t>
  </si>
  <si>
    <t>Processo / tema</t>
  </si>
  <si>
    <t>Evento de risco</t>
  </si>
  <si>
    <t>Causa / fonte</t>
  </si>
  <si>
    <t>Consequência / impacto</t>
  </si>
  <si>
    <t>Referência (origem da proposta)</t>
  </si>
  <si>
    <t>Controles existentes (A validar)</t>
  </si>
  <si>
    <t>Prob. (1-5)</t>
  </si>
  <si>
    <t>Impacto (1-5)</t>
  </si>
  <si>
    <t>Score</t>
  </si>
  <si>
    <t>Nível</t>
  </si>
  <si>
    <t>Tratamento</t>
  </si>
  <si>
    <t>Ação proposta (plano de ação)</t>
  </si>
  <si>
    <t>Responsável (A validar)</t>
  </si>
  <si>
    <t>Prazo (A validar)</t>
  </si>
  <si>
    <t>Status</t>
  </si>
  <si>
    <t>Estratégico</t>
  </si>
  <si>
    <t>A levantar com a área</t>
  </si>
  <si>
    <t>Mitigar</t>
  </si>
  <si>
    <t>A definir</t>
  </si>
  <si>
    <t>Proposta</t>
  </si>
  <si>
    <t>R02</t>
  </si>
  <si>
    <t>Financeiro</t>
  </si>
  <si>
    <t>Execução orçamentária e financeira</t>
  </si>
  <si>
    <t>Contingenciamento de recursos pelo Estado para pagamento de pessoal, custeio ou capital</t>
  </si>
  <si>
    <t>Dependência de recursos do ente controlador; restrição fiscal</t>
  </si>
  <si>
    <t>Atraso em pagamentos a fornecedores e à folha; paralisação de contratos e obras</t>
  </si>
  <si>
    <t>Política de Gestão de Riscos, art. 23, III (Riscos Financeiros); Ofício 02/2026 item 8</t>
  </si>
  <si>
    <t>Priorizar despesas essenciais; dar visibilidade à programação por fonte e unidade orçamentária; plano de contingência financeira</t>
  </si>
  <si>
    <t>R03</t>
  </si>
  <si>
    <t>Convênios e financiamentos</t>
  </si>
  <si>
    <t>Incerteza no recebimento de valores pactuados com órgãos de fomento, agentes financeiros ou convenentes</t>
  </si>
  <si>
    <t>Não cumprimento de condicionantes; atraso em prestação de contas; mudança de governo</t>
  </si>
  <si>
    <t>Perda de receita; devolução de recursos; interrupção de obras financiadas</t>
  </si>
  <si>
    <t>Política, art. 23, III; Ofício 08/2026 item 6</t>
  </si>
  <si>
    <t>Listar convênios e transferências com impacto recorrente; acompanhar prazos de prestação de contas e condicionantes</t>
  </si>
  <si>
    <t>R04</t>
  </si>
  <si>
    <t>Controles financeiros</t>
  </si>
  <si>
    <t>Controles ineficientes ou ausência de registro de movimentações financeiras</t>
  </si>
  <si>
    <t>Falhas de processo; segregação de funções insuficiente</t>
  </si>
  <si>
    <t>Erros contábeis; apontamentos de órgãos de controle; prejuízo</t>
  </si>
  <si>
    <t>Política, art. 23, III; Regimento, art. 18, XXIV</t>
  </si>
  <si>
    <t>Revisar a segregação de funções e os registros das movimentações; testar os controles críticos</t>
  </si>
  <si>
    <t>R05</t>
  </si>
  <si>
    <t>Operacional</t>
  </si>
  <si>
    <t>Contratos e licitações</t>
  </si>
  <si>
    <t>Vencimento de contratos entre out/2026 e abr/2027 sem prorrogação ou nova contratação a tempo</t>
  </si>
  <si>
    <t>Planejamento da contratação tardio; ciclo de licitação mais longo que o prazo de vigência</t>
  </si>
  <si>
    <t>Descontinuidade de serviços essenciais; contratações emergenciais ou irregulares</t>
  </si>
  <si>
    <t>Ofício 06/2026 itens 1 a 3</t>
  </si>
  <si>
    <t>Mapear contratos que vencem no período e definir providências de continuidade (prorrogação, nova licitação) com cronograma</t>
  </si>
  <si>
    <t>R06</t>
  </si>
  <si>
    <t>Gestão de pessoas</t>
  </si>
  <si>
    <t>Perda de conhecimento crítico e de pessoal-chave na transição</t>
  </si>
  <si>
    <t>Exoneração ou saída de dirigentes e ocupantes de cargos de confiança; falta de documentação dos processos</t>
  </si>
  <si>
    <t>Descontinuidade de rotinas; erros na tomada de decisão; atraso em entregas</t>
  </si>
  <si>
    <t>Ofício 02/2026 item 6 (recursos humanos); Regimento (SUPGEP)</t>
  </si>
  <si>
    <t>Mapear posições críticas; documentar rotinas e passar o conhecimento antes da transição</t>
  </si>
  <si>
    <t>SUPGEP</t>
  </si>
  <si>
    <t>R07</t>
  </si>
  <si>
    <t>Tecnologia da informação</t>
  </si>
  <si>
    <t>Falha, indisponibilidade ou acesso indevido a sistemas de informação, inclusive SEI-RJ e SIGA-RJ</t>
  </si>
  <si>
    <t>Mudança de perfis de acesso; backups e contingência insuficientes</t>
  </si>
  <si>
    <t>Perda de dados e de registros; paralisação de processos</t>
  </si>
  <si>
    <t>Ofício 02/2026 item 4 e item 6; Política, art. 23, III (Riscos Operacionais)</t>
  </si>
  <si>
    <t>Inventariar sistemas e contratos associados; revisar perfis de acesso; testar backup e restauração</t>
  </si>
  <si>
    <t>GERTIN</t>
  </si>
  <si>
    <t>R08</t>
  </si>
  <si>
    <t>Planos de contingência</t>
  </si>
  <si>
    <t>Ausência ou desatualização de planos de contingência dos principais processos de trabalho</t>
  </si>
  <si>
    <t>Processos ainda não mapeados ou revistos; falta de definição das condições mínimas de operação</t>
  </si>
  <si>
    <t>Resposta lenta a incidentes; interrupção de serviços essenciais</t>
  </si>
  <si>
    <t>Regimento, art. 18, XXI; Ofício 07/2026; Ofício 08/2026 itens 1 e 5</t>
  </si>
  <si>
    <t>Identificar os processos essenciais, definir condições mínimas de operação e responsáveis pelos planos de contingência</t>
  </si>
  <si>
    <t>ASSGER / áreas gestoras</t>
  </si>
  <si>
    <t>R09</t>
  </si>
  <si>
    <t>Obras e manutenção</t>
  </si>
  <si>
    <t>Atraso, paralisação ou deficiência na manutenção e na conclusão de obras e intervenções</t>
  </si>
  <si>
    <t>Contratos vencendo; restrição financeira; pendências de licenciamento</t>
  </si>
  <si>
    <t>Prejuízo à operação do transporte sobre trilhos; custos de retomada</t>
  </si>
  <si>
    <t>Estatuto, art. 3º; Ofício 02/2026 item 3; Ofício 08/2026 item 3</t>
  </si>
  <si>
    <t>Consolidar estágio, medição e compromissos remanescentes; definir prioridades e riscos à continuidade</t>
  </si>
  <si>
    <t>R10</t>
  </si>
  <si>
    <t>Patrimônio</t>
  </si>
  <si>
    <t>Inconsistência no inventário e na regularização de bens e imóveis</t>
  </si>
  <si>
    <t>Registros desatualizados; transferências a terceiros sem formalização</t>
  </si>
  <si>
    <t>Perda patrimonial; apontamentos de controle</t>
  </si>
  <si>
    <t>Regimento, art. 18, VIII; Ofício 02/2026 item 6 (patrimônio)</t>
  </si>
  <si>
    <t>Conferir o inventário patrimonial e a documentação dos imóveis; tratar pendências de regularização</t>
  </si>
  <si>
    <t>SUPAT</t>
  </si>
  <si>
    <t>R11</t>
  </si>
  <si>
    <t>Regulamentar</t>
  </si>
  <si>
    <t>Órgãos de controle</t>
  </si>
  <si>
    <t>Não atendimento de recomendações, determinações e prazos de órgãos de controle (TCE-RJ, TCU, CGE)</t>
  </si>
  <si>
    <t>Falta de controle central dos prazos; troca de responsáveis na transição</t>
  </si>
  <si>
    <t>Sanções; multas; responsabilização de dirigentes</t>
  </si>
  <si>
    <t>Ofício 07/2026; Regimento, art. 18, VII e XXII</t>
  </si>
  <si>
    <t>Consolidar as pendências e os prazos num quadro único, com responsável por item (em conjunto com o item 7 do ofício)</t>
  </si>
  <si>
    <t>Estatuto, art. 1º; Regimento, art. 18, III, VI, XVII e XVIII; Política, art. 23, III (Riscos Regulamentares)</t>
  </si>
  <si>
    <t>ASSGER</t>
  </si>
  <si>
    <t>R13</t>
  </si>
  <si>
    <t>Passivo judicial e administrativo</t>
  </si>
  <si>
    <t>Bloqueios financeiros e obrigações decorrentes de ações judiciais, precatórios e RPVs</t>
  </si>
  <si>
    <t>Condenações em ações em curso; falta de provisionamento</t>
  </si>
  <si>
    <t>Impacto de caixa; descontinuidade de pagamentos</t>
  </si>
  <si>
    <t>Ofício 07/2026 (mapa de ações judiciais; precatórios e RPVs)</t>
  </si>
  <si>
    <t>Interface com a ASSJUR: incorporar ao quadro os riscos do mapa de ações com potencial de bloqueio</t>
  </si>
  <si>
    <t>ASSJUR</t>
  </si>
  <si>
    <t>Integridade</t>
  </si>
  <si>
    <t>Ofício SETRAM/GABSEC nº 838/2026 (prazo 28/10/2026); Regimento, art. 18, I</t>
  </si>
  <si>
    <t>Escala de impacto</t>
  </si>
  <si>
    <t>Valor</t>
  </si>
  <si>
    <t>Classificação</t>
  </si>
  <si>
    <t>Descrição</t>
  </si>
  <si>
    <t>Muito baixo</t>
  </si>
  <si>
    <t>Efeito desprezível, absorvido na rotina</t>
  </si>
  <si>
    <t>Baixo</t>
  </si>
  <si>
    <t>Retrabalho ou atraso pontual, sem efeito na operação</t>
  </si>
  <si>
    <t>Médio</t>
  </si>
  <si>
    <t>Atraso relevante de entregas ou exposição a questionamento de órgão de controle</t>
  </si>
  <si>
    <t>Alto</t>
  </si>
  <si>
    <t>Interrupção parcial de atividade essencial, perda financeira relevante ou sanção</t>
  </si>
  <si>
    <t>Muito alto</t>
  </si>
  <si>
    <t>Interrupção de atividade essencial, dano grave à imagem ou responsabilização de dirigentes</t>
  </si>
  <si>
    <t>Escala de probabilidade (detalhe)</t>
  </si>
  <si>
    <t>Muito baixa</t>
  </si>
  <si>
    <t>Ocorrência improvável; sem histórico</t>
  </si>
  <si>
    <t>Baixa</t>
  </si>
  <si>
    <t>Pode ocorrer em circunstâncias excepcionais</t>
  </si>
  <si>
    <t>Média</t>
  </si>
  <si>
    <t>Pode ocorrer; há histórico ou indício</t>
  </si>
  <si>
    <t>Alta</t>
  </si>
  <si>
    <t>Provável de ocorrer no horizonte da transição (até abr/2027)</t>
  </si>
  <si>
    <t>Muito alta</t>
  </si>
  <si>
    <t>Ocorrência esperada ou já em curso</t>
  </si>
  <si>
    <t>Nível de risco = Probabilidade × Impacto (art. 25, IV da Política)</t>
  </si>
  <si>
    <t>Tratamento sugerido</t>
  </si>
  <si>
    <t>1 a 4</t>
  </si>
  <si>
    <t>Aceitar ou monitorar</t>
  </si>
  <si>
    <t>5 a 9</t>
  </si>
  <si>
    <t>Mitigar com plano de ação da área gestora</t>
  </si>
  <si>
    <t>Elevado</t>
  </si>
  <si>
    <t>10 a 16</t>
  </si>
  <si>
    <t>Plano de ação prioritário</t>
  </si>
  <si>
    <t>Extremo</t>
  </si>
  <si>
    <t>17 a 25</t>
  </si>
  <si>
    <t>Plano de ação submetido à Diretoria Executiva (art. 27, III)</t>
  </si>
  <si>
    <t>Categorias (art. 23, III): Estratégico · Financeiro · Operacional · Regulamentar · Integridade</t>
  </si>
  <si>
    <t>Tratamento (arts. 21 e 26): Evitar · Mitigar · Transferir · Aceitar</t>
  </si>
  <si>
    <t>MATRIZ DE RISCOS (nº de riscos por célula e nível)</t>
  </si>
  <si>
    <t>Atualiza sozinha a partir da aba 'Quadro de Riscos'.</t>
  </si>
  <si>
    <t>IMPACTO</t>
  </si>
  <si>
    <t>IMPACTO →</t>
  </si>
  <si>
    <t>Resumo por nível</t>
  </si>
  <si>
    <t>PROBABILIDADE ↓</t>
  </si>
  <si>
    <t>Total</t>
  </si>
  <si>
    <t>Por categoria</t>
  </si>
  <si>
    <t xml:space="preserve">SUPFIC </t>
  </si>
  <si>
    <t>GERLIC</t>
  </si>
  <si>
    <t xml:space="preserve">SUPVIP </t>
  </si>
  <si>
    <t xml:space="preserve">ASSGER </t>
  </si>
  <si>
    <t>AUD</t>
  </si>
  <si>
    <t>Transparência</t>
  </si>
  <si>
    <t>Descumprimento dos requisitos de transparência ativa e de acesso à informação no site institucional, com informações ausentes, incompletas ou desatualizadas (Decreto 46.475/2018, Lei 13.303/2016, Lei 13.460/2017 e POP-CENTRAL-016).</t>
  </si>
  <si>
    <t xml:space="preserve">Não há </t>
  </si>
  <si>
    <t xml:space="preserve">Conformidade </t>
  </si>
  <si>
    <t xml:space="preserve">Integridade </t>
  </si>
  <si>
    <t>Normas internas (Estatuto, Regimento, políticas, RILC e POPs) desatualizadas, omissas ou em desacordo com a legislação superior e com a estrutura real da CENTRAL.</t>
  </si>
  <si>
    <r>
      <t>Programa de Governança e Saneamento Normativo, proposta construída pela ASSGER em 2026 para sistematizar a conformidade normativa de todo o acervo.</t>
    </r>
    <r>
      <rPr>
        <sz val="11"/>
        <color theme="1"/>
        <rFont val="Calibri"/>
        <family val="2"/>
        <scheme val="minor"/>
      </rPr>
      <t xml:space="preserve"> Pendente de aprovação da DIREXE. Reúne: a Metodologia de Avaliação , com 7 níveis hierárquicos, 6 tipos de teste e matriz de risco; o Manual, com os prompts de cada uma das 5 etapas; o Inventário Normativo; o Plano de Saneamento, com fluxo de 8 etapas e prazos; e o reporte trimestral ao COMAUD e semestral ao CONADM, com 8 indicadores. </t>
    </r>
  </si>
  <si>
    <t>1) Aprovar e implantar o Programa de Governança e Saneamento Normativo. 2) Concluir a Fase 0, a contratação da ferramenta de IA. Sem ela, o Programa diz que o diagnóstico não tem ritmo definido e não é exequível com a equipe atual. 3) Acompanhar por indicadores (cobertura do diagnóstico, achados críticos em aberto, tempo de tratamento e recorrência ≤ 5%) e reportar ao COMAUD e ao CONADM.</t>
  </si>
  <si>
    <t xml:space="preserve">ASSGER coordena, com ASSJUR e as áreas gestoras de cada norma (SUPADM, SUPGEP, SUPTIN, DIRAF e outras). Aprovação do Estatuto pelo CONADM e pela Assembleia Geral, e do Programa pela DIREXE. Prazo: a Fase 0 depende da contratação. Depois dela, o diagnóstico leva cerca de 43 semanas (6 + 11 + 10 + 16 por onda). Achados críticos: 30 dias. Prazo condicionado à contratação da ferramenta de Inteligência artificial. </t>
  </si>
  <si>
    <t>O acervo de 63 instrumentos nunca foi avaliado de forma sistemática, e a revisão era feita de maneira pontual. Houve mudanças legais recentes (Lei 15.177/2025, Lei 14.611/2023 e decretos estaduais 49.058, 49.394, 49.406 e 49.536). O Regimento não acompanhou a estrutura atual (proposta de 02/out/26 ainda em construção). Há propostas de alteração de POPs sem análise de conformidade. A equipe não consegue ler várias normas ao mesmo tempo sem uma ferramenta. O Programa de sistematização, elaborado em 2026, ainda não foi aprovado.</t>
  </si>
  <si>
    <t>Insegurança jurídica, com normas contraditórias, sobrepostas ou omissas que geram divergência de interpretação entre áreas e risco de nulidade de atos e deliberações; apontamentos e sanções de órgãos de controle, com responsabilização de dirigentes; fragilidade dos controles internos e de integridade; e descumprimento de obrigações de transparência.</t>
  </si>
  <si>
    <t xml:space="preserve">Apontamentos de órgãos de controle e questionamentos da Equipe de Transição. Descumprimento da Lei de Acesso à Informação e da Lei das Estatais. Responsabilização de dirigentes e dano à imagem da CENTRAL. Menor controle social e decisões tomadas com dados desatualizados. </t>
  </si>
  <si>
    <t xml:space="preserve">1) Transformar o relatório em plano de ação, com responsável e prazo por item. 2) Atualizar o POP-CENTRAL-016. 3) Criar uma rotina mensal de conferência e publicação. </t>
  </si>
  <si>
    <t>1) Responsabilidades dispersas entre várias áreas, com o POP-CENTRAL-016 desatualizado.  2) Falta de rotina periódica de atualização: licitações, contratos, programas, repasses e a Carta Anual, cujo último ano-base no site é 2024. 3) Mudanças de estrutura que o Regimento ainda não acompanhou.</t>
  </si>
  <si>
    <t>POP-CENTRAL-016, que define áreas e fluxo, mas está desatualizado. Relatório de avaliação do site, que serve de monitoramento. Canal e-SIC/OuvERJ funcional. Publicação centralizada na ASSTAD. Política de Divulgação de Informações já publicada.</t>
  </si>
  <si>
    <t>60 dias para atualização do site</t>
  </si>
  <si>
    <t>Não identificar ou avaliar adequadamente fatores de risco de integridade de fornecedores e partes interessadas, comprometendo o assessoramento à decisão e a continuidade das análises de DDI realizadas pela ASSGER.</t>
  </si>
  <si>
    <t>Diligências realizadas manualmente, mediante consultas a fontes abertas, certidões e registros disponíveis, com limitações de abrangência, cruzamento de informações e identificação de vínculos. Ausência de ferramenta especializada para avaliação e classificação estruturada dos riscos de integridade.</t>
  </si>
  <si>
    <t>Contratações ou relacionamentos com terceiros cujos riscos de integridade não tenham sido suficientemente identificados; fragilidade na fundamentação das análises e recomendações; exposição reputacional; questionamentos dos órgãos de controle; aumento do tempo de análise e possibilidade de retenção de processos caso sejam exigidas classificações de risco sem os recursos e a metodologia necessários.</t>
  </si>
  <si>
    <t>Atribuições regimentais da ASSGER relativas à integridade, aos riscos e controles e ao assessoramento à alta administração; POP-CENTRAL-008; proposta de revisão do RILC, no processo SEI-100006/001717/2020; planejamento da contratação de solução de DDI e Background Check, no processo SEI-100006/000861/2026.</t>
  </si>
  <si>
    <t>Realização de DDI pela ASSGER nos processos encaminhados pela área de licitações, com consultas manuais a fontes abertas, certidões e registros negativos; análise das informações disponíveis sobre perfil, histórico e reputação dos fornecedores; registro dos resultados nos autos e emissão de relatório e recomendações, quando cabíveis. Esses controles possuem limitações para cruzamento de dados e classificação estruturada do risco.</t>
  </si>
  <si>
    <t>1) Dar prosseguimento à proposta de contratação de ferramenta tecnológica especializada, na modalidade SaaS, para Due Diligence de Integridade e Background Check de pessoas físicas e jurídicas, com consulta e cruzamento de bases, identificação de vínculos e sinais de alerta, emissão de relatórios e apoio à classificação dos riscos de integridade. A ASSGER já realizou benchmarking, pesquisa de soluções e preparação de minutas técnicas para subsidiar o planejamento da contratação. 2) Formalizar metodologia de DDI, com critérios de classificação, tratamento dos achados e encaminhamento às instâncias decisórias. 3) Compatibilizar o POP e as disposições do novo RILC, definindo responsabilidades, hipóteses de aplicação e prazos. 4) Capacitar os usuários e estabelecer rotina de registro e acompanhamento das diligências.</t>
  </si>
  <si>
    <t>Risco 1</t>
  </si>
  <si>
    <t>Risco 2</t>
  </si>
  <si>
    <t>Risco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</si>
</sst>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4B183"/>
      </patternFill>
    </fill>
    <fill>
      <patternFill patternType="solid">
        <fgColor rgb="FFFF7C8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0" fillId="0" borderId="0" xfId="0"/>
    <xf numFmtId="17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FF7C80"/>
          <bgColor rgb="FFFF7C80"/>
        </patternFill>
      </fill>
    </dxf>
    <dxf>
      <fill>
        <patternFill patternType="solid">
          <fgColor rgb="FFF4B183"/>
          <bgColor rgb="FFF4B183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"/>
  <sheetViews>
    <sheetView tabSelected="1" zoomScaleNormal="100" workbookViewId="0">
      <selection activeCell="B5" sqref="B5"/>
    </sheetView>
  </sheetViews>
  <sheetFormatPr defaultColWidth="64.7109375" defaultRowHeight="15" x14ac:dyDescent="0.25"/>
  <cols>
    <col min="1" max="1" width="22.85546875" bestFit="1" customWidth="1"/>
    <col min="2" max="2" width="67.140625" customWidth="1"/>
    <col min="3" max="3" width="75.5703125" customWidth="1"/>
    <col min="4" max="4" width="80.28515625" bestFit="1" customWidth="1"/>
    <col min="5" max="5" width="63" hidden="1" customWidth="1"/>
    <col min="6" max="6" width="60.140625" hidden="1" customWidth="1"/>
    <col min="7" max="7" width="63.5703125" hidden="1" customWidth="1"/>
    <col min="8" max="8" width="61.7109375" hidden="1" customWidth="1"/>
    <col min="9" max="9" width="63.5703125" hidden="1" customWidth="1"/>
    <col min="10" max="11" width="64.7109375" hidden="1" customWidth="1"/>
    <col min="12" max="12" width="63.42578125" hidden="1" customWidth="1"/>
    <col min="13" max="13" width="63.7109375" hidden="1" customWidth="1"/>
    <col min="14" max="14" width="60.140625" hidden="1" customWidth="1"/>
    <col min="15" max="15" width="61.140625" hidden="1" customWidth="1"/>
  </cols>
  <sheetData>
    <row r="1" spans="1:15" x14ac:dyDescent="0.25">
      <c r="A1" s="2" t="s">
        <v>0</v>
      </c>
      <c r="B1" s="3" t="s">
        <v>185</v>
      </c>
      <c r="C1" s="3" t="s">
        <v>186</v>
      </c>
      <c r="D1" s="3" t="s">
        <v>187</v>
      </c>
      <c r="E1" s="3" t="s">
        <v>68</v>
      </c>
      <c r="F1" s="3" t="s">
        <v>22</v>
      </c>
      <c r="G1" s="3" t="s">
        <v>30</v>
      </c>
      <c r="H1" s="3" t="s">
        <v>37</v>
      </c>
      <c r="I1" s="3" t="s">
        <v>44</v>
      </c>
      <c r="J1" s="3" t="s">
        <v>52</v>
      </c>
      <c r="K1" s="3" t="s">
        <v>60</v>
      </c>
      <c r="L1" s="3" t="s">
        <v>76</v>
      </c>
      <c r="M1" s="3" t="s">
        <v>83</v>
      </c>
      <c r="N1" s="3" t="s">
        <v>91</v>
      </c>
      <c r="O1" s="3" t="s">
        <v>101</v>
      </c>
    </row>
    <row r="2" spans="1:15" x14ac:dyDescent="0.25">
      <c r="A2" s="2" t="s">
        <v>14</v>
      </c>
      <c r="B2" s="5" t="s">
        <v>100</v>
      </c>
      <c r="C2" s="5" t="s">
        <v>161</v>
      </c>
      <c r="D2" s="5" t="s">
        <v>161</v>
      </c>
      <c r="E2" s="5" t="s">
        <v>75</v>
      </c>
      <c r="F2" s="5" t="s">
        <v>158</v>
      </c>
      <c r="G2" s="5" t="s">
        <v>158</v>
      </c>
      <c r="H2" s="5" t="s">
        <v>158</v>
      </c>
      <c r="I2" s="5" t="s">
        <v>159</v>
      </c>
      <c r="J2" s="5" t="s">
        <v>59</v>
      </c>
      <c r="K2" s="5" t="s">
        <v>67</v>
      </c>
      <c r="L2" s="5" t="s">
        <v>160</v>
      </c>
      <c r="M2" s="5" t="s">
        <v>90</v>
      </c>
      <c r="N2" s="5" t="s">
        <v>162</v>
      </c>
      <c r="O2" s="5" t="s">
        <v>108</v>
      </c>
    </row>
    <row r="3" spans="1:15" x14ac:dyDescent="0.25">
      <c r="A3" s="2" t="s">
        <v>1</v>
      </c>
      <c r="B3" s="4" t="s">
        <v>92</v>
      </c>
      <c r="C3" s="4" t="s">
        <v>109</v>
      </c>
      <c r="D3" s="4" t="s">
        <v>17</v>
      </c>
      <c r="E3" s="4" t="s">
        <v>45</v>
      </c>
      <c r="F3" s="4" t="s">
        <v>23</v>
      </c>
      <c r="G3" s="4" t="s">
        <v>23</v>
      </c>
      <c r="H3" s="4" t="s">
        <v>23</v>
      </c>
      <c r="I3" s="4" t="s">
        <v>45</v>
      </c>
      <c r="J3" s="4" t="s">
        <v>45</v>
      </c>
      <c r="K3" s="4" t="s">
        <v>45</v>
      </c>
      <c r="L3" s="4" t="s">
        <v>45</v>
      </c>
      <c r="M3" s="4" t="s">
        <v>45</v>
      </c>
      <c r="N3" s="4" t="s">
        <v>92</v>
      </c>
      <c r="O3" s="4" t="s">
        <v>92</v>
      </c>
    </row>
    <row r="4" spans="1:15" x14ac:dyDescent="0.25">
      <c r="A4" s="2" t="s">
        <v>2</v>
      </c>
      <c r="B4" s="4" t="s">
        <v>166</v>
      </c>
      <c r="C4" s="4" t="s">
        <v>167</v>
      </c>
      <c r="D4" s="4" t="s">
        <v>163</v>
      </c>
      <c r="E4" s="4" t="s">
        <v>69</v>
      </c>
      <c r="F4" s="4" t="s">
        <v>24</v>
      </c>
      <c r="G4" s="4" t="s">
        <v>31</v>
      </c>
      <c r="H4" s="4" t="s">
        <v>38</v>
      </c>
      <c r="I4" s="4" t="s">
        <v>46</v>
      </c>
      <c r="J4" s="4" t="s">
        <v>53</v>
      </c>
      <c r="K4" s="4" t="s">
        <v>61</v>
      </c>
      <c r="L4" s="4" t="s">
        <v>77</v>
      </c>
      <c r="M4" s="4" t="s">
        <v>84</v>
      </c>
      <c r="N4" s="4" t="s">
        <v>93</v>
      </c>
      <c r="O4" s="4" t="s">
        <v>102</v>
      </c>
    </row>
    <row r="5" spans="1:15" ht="45" x14ac:dyDescent="0.25">
      <c r="A5" s="2" t="s">
        <v>3</v>
      </c>
      <c r="B5" s="4" t="s">
        <v>168</v>
      </c>
      <c r="C5" s="4" t="s">
        <v>179</v>
      </c>
      <c r="D5" s="4" t="s">
        <v>164</v>
      </c>
      <c r="E5" s="4" t="s">
        <v>70</v>
      </c>
      <c r="F5" s="4" t="s">
        <v>25</v>
      </c>
      <c r="G5" s="4" t="s">
        <v>32</v>
      </c>
      <c r="H5" s="4" t="s">
        <v>39</v>
      </c>
      <c r="I5" s="4" t="s">
        <v>47</v>
      </c>
      <c r="J5" s="4" t="s">
        <v>54</v>
      </c>
      <c r="K5" s="4" t="s">
        <v>62</v>
      </c>
      <c r="L5" s="4" t="s">
        <v>78</v>
      </c>
      <c r="M5" s="4" t="s">
        <v>85</v>
      </c>
      <c r="N5" s="4" t="s">
        <v>94</v>
      </c>
      <c r="O5" s="4" t="s">
        <v>103</v>
      </c>
    </row>
    <row r="6" spans="1:15" ht="120" x14ac:dyDescent="0.25">
      <c r="A6" s="2" t="s">
        <v>4</v>
      </c>
      <c r="B6" s="4" t="s">
        <v>172</v>
      </c>
      <c r="C6" s="4" t="s">
        <v>180</v>
      </c>
      <c r="D6" s="4" t="s">
        <v>176</v>
      </c>
      <c r="E6" s="4" t="s">
        <v>71</v>
      </c>
      <c r="F6" s="4" t="s">
        <v>26</v>
      </c>
      <c r="G6" s="4" t="s">
        <v>33</v>
      </c>
      <c r="H6" s="4" t="s">
        <v>40</v>
      </c>
      <c r="I6" s="4" t="s">
        <v>48</v>
      </c>
      <c r="J6" s="4" t="s">
        <v>55</v>
      </c>
      <c r="K6" s="4" t="s">
        <v>63</v>
      </c>
      <c r="L6" s="4" t="s">
        <v>79</v>
      </c>
      <c r="M6" s="4" t="s">
        <v>86</v>
      </c>
      <c r="N6" s="4" t="s">
        <v>95</v>
      </c>
      <c r="O6" s="4" t="s">
        <v>104</v>
      </c>
    </row>
    <row r="7" spans="1:15" ht="90" x14ac:dyDescent="0.25">
      <c r="A7" s="2" t="s">
        <v>5</v>
      </c>
      <c r="B7" s="4" t="s">
        <v>173</v>
      </c>
      <c r="C7" s="4" t="s">
        <v>181</v>
      </c>
      <c r="D7" s="4" t="s">
        <v>174</v>
      </c>
      <c r="E7" s="4" t="s">
        <v>72</v>
      </c>
      <c r="F7" s="4" t="s">
        <v>27</v>
      </c>
      <c r="G7" s="4" t="s">
        <v>34</v>
      </c>
      <c r="H7" s="4" t="s">
        <v>41</v>
      </c>
      <c r="I7" s="4" t="s">
        <v>49</v>
      </c>
      <c r="J7" s="4" t="s">
        <v>56</v>
      </c>
      <c r="K7" s="4" t="s">
        <v>64</v>
      </c>
      <c r="L7" s="4" t="s">
        <v>80</v>
      </c>
      <c r="M7" s="4" t="s">
        <v>87</v>
      </c>
      <c r="N7" s="4" t="s">
        <v>96</v>
      </c>
      <c r="O7" s="4" t="s">
        <v>105</v>
      </c>
    </row>
    <row r="8" spans="1:15" ht="60" x14ac:dyDescent="0.25">
      <c r="A8" s="2" t="s">
        <v>6</v>
      </c>
      <c r="B8" s="4" t="s">
        <v>99</v>
      </c>
      <c r="C8" s="4" t="s">
        <v>182</v>
      </c>
      <c r="D8" s="4" t="s">
        <v>110</v>
      </c>
      <c r="E8" s="4" t="s">
        <v>73</v>
      </c>
      <c r="F8" s="4" t="s">
        <v>28</v>
      </c>
      <c r="G8" s="4" t="s">
        <v>35</v>
      </c>
      <c r="H8" s="4" t="s">
        <v>42</v>
      </c>
      <c r="I8" s="4" t="s">
        <v>50</v>
      </c>
      <c r="J8" s="4" t="s">
        <v>57</v>
      </c>
      <c r="K8" s="4" t="s">
        <v>65</v>
      </c>
      <c r="L8" s="4" t="s">
        <v>81</v>
      </c>
      <c r="M8" s="4" t="s">
        <v>88</v>
      </c>
      <c r="N8" s="4" t="s">
        <v>97</v>
      </c>
      <c r="O8" s="4" t="s">
        <v>106</v>
      </c>
    </row>
    <row r="9" spans="1:15" ht="120" x14ac:dyDescent="0.25">
      <c r="A9" s="2" t="s">
        <v>7</v>
      </c>
      <c r="B9" s="4" t="s">
        <v>169</v>
      </c>
      <c r="C9" s="4" t="s">
        <v>183</v>
      </c>
      <c r="D9" s="4" t="s">
        <v>177</v>
      </c>
      <c r="E9" s="5" t="s">
        <v>165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</row>
    <row r="10" spans="1:15" x14ac:dyDescent="0.25">
      <c r="A10" s="2" t="s">
        <v>8</v>
      </c>
      <c r="B10" s="6">
        <v>3</v>
      </c>
      <c r="C10" s="6">
        <v>4</v>
      </c>
      <c r="D10" s="6">
        <v>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5">
      <c r="A11" s="2" t="s">
        <v>9</v>
      </c>
      <c r="B11" s="6">
        <v>4</v>
      </c>
      <c r="C11" s="6">
        <v>4</v>
      </c>
      <c r="D11" s="6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5">
      <c r="A12" s="2" t="s">
        <v>10</v>
      </c>
      <c r="B12" s="3">
        <f>B10*B11</f>
        <v>12</v>
      </c>
      <c r="C12" s="3">
        <f>C10*C11</f>
        <v>16</v>
      </c>
      <c r="D12" s="3">
        <f>D10*D11</f>
        <v>12</v>
      </c>
      <c r="E12" s="3">
        <f>E10*E11</f>
        <v>0</v>
      </c>
      <c r="F12" s="3">
        <f>F10*F11</f>
        <v>0</v>
      </c>
      <c r="G12" s="3">
        <f>G10*G11</f>
        <v>0</v>
      </c>
      <c r="H12" s="3">
        <f>H10*H11</f>
        <v>0</v>
      </c>
      <c r="I12" s="3">
        <f>I10*I11</f>
        <v>0</v>
      </c>
      <c r="J12" s="3">
        <f>J10*J11</f>
        <v>0</v>
      </c>
      <c r="K12" s="3">
        <f>K10*K11</f>
        <v>0</v>
      </c>
      <c r="L12" s="3">
        <f>L10*L11</f>
        <v>0</v>
      </c>
      <c r="M12" s="3">
        <f>M10*M11</f>
        <v>0</v>
      </c>
      <c r="N12" s="3">
        <f>N10*N11</f>
        <v>0</v>
      </c>
      <c r="O12" s="3">
        <f>O10*O11</f>
        <v>0</v>
      </c>
    </row>
    <row r="13" spans="1:15" x14ac:dyDescent="0.25">
      <c r="A13" s="2" t="s">
        <v>11</v>
      </c>
      <c r="B13" s="3" t="str">
        <f>IF(B12&gt;=17,"Extremo",IF(B12&gt;=10,"Elevado",IF(B12&gt;=5,"Médio","Baixo")))</f>
        <v>Elevado</v>
      </c>
      <c r="C13" s="3" t="str">
        <f>IF(C12&gt;=17,"Extremo",IF(C12&gt;=10,"Elevado",IF(C12&gt;=5,"Médio","Baixo")))</f>
        <v>Elevado</v>
      </c>
      <c r="D13" s="3" t="str">
        <f>IF(D12&gt;=17,"Extremo",IF(D12&gt;=10,"Elevado",IF(D12&gt;=5,"Médio","Baixo")))</f>
        <v>Elevado</v>
      </c>
      <c r="E13" s="3" t="str">
        <f>IF(E12&gt;=17,"Extremo",IF(E12&gt;=10,"Elevado",IF(E12&gt;=5,"Médio","Baixo")))</f>
        <v>Baixo</v>
      </c>
      <c r="F13" s="3" t="str">
        <f>IF(F12&gt;=17,"Extremo",IF(F12&gt;=10,"Elevado",IF(F12&gt;=5,"Médio","Baixo")))</f>
        <v>Baixo</v>
      </c>
      <c r="G13" s="3" t="str">
        <f>IF(G12&gt;=17,"Extremo",IF(G12&gt;=10,"Elevado",IF(G12&gt;=5,"Médio","Baixo")))</f>
        <v>Baixo</v>
      </c>
      <c r="H13" s="3" t="str">
        <f>IF(H12&gt;=17,"Extremo",IF(H12&gt;=10,"Elevado",IF(H12&gt;=5,"Médio","Baixo")))</f>
        <v>Baixo</v>
      </c>
      <c r="I13" s="3" t="str">
        <f>IF(I12&gt;=17,"Extremo",IF(I12&gt;=10,"Elevado",IF(I12&gt;=5,"Médio","Baixo")))</f>
        <v>Baixo</v>
      </c>
      <c r="J13" s="3" t="str">
        <f>IF(J12&gt;=17,"Extremo",IF(J12&gt;=10,"Elevado",IF(J12&gt;=5,"Médio","Baixo")))</f>
        <v>Baixo</v>
      </c>
      <c r="K13" s="3" t="str">
        <f>IF(K12&gt;=17,"Extremo",IF(K12&gt;=10,"Elevado",IF(K12&gt;=5,"Médio","Baixo")))</f>
        <v>Baixo</v>
      </c>
      <c r="L13" s="3" t="str">
        <f>IF(L12&gt;=17,"Extremo",IF(L12&gt;=10,"Elevado",IF(L12&gt;=5,"Médio","Baixo")))</f>
        <v>Baixo</v>
      </c>
      <c r="M13" s="3" t="str">
        <f>IF(M12&gt;=17,"Extremo",IF(M12&gt;=10,"Elevado",IF(M12&gt;=5,"Médio","Baixo")))</f>
        <v>Baixo</v>
      </c>
      <c r="N13" s="3" t="str">
        <f>IF(N12&gt;=17,"Extremo",IF(N12&gt;=10,"Elevado",IF(N12&gt;=5,"Médio","Baixo")))</f>
        <v>Baixo</v>
      </c>
      <c r="O13" s="3" t="str">
        <f>IF(O12&gt;=17,"Extremo",IF(O12&gt;=10,"Elevado",IF(O12&gt;=5,"Médio","Baixo")))</f>
        <v>Baixo</v>
      </c>
    </row>
    <row r="14" spans="1:15" x14ac:dyDescent="0.25">
      <c r="A14" s="2" t="s">
        <v>12</v>
      </c>
      <c r="B14" s="6" t="s">
        <v>19</v>
      </c>
      <c r="C14" s="6" t="s">
        <v>19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6" t="s">
        <v>19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</row>
    <row r="15" spans="1:15" ht="165" x14ac:dyDescent="0.25">
      <c r="A15" s="2" t="s">
        <v>13</v>
      </c>
      <c r="B15" s="4" t="s">
        <v>170</v>
      </c>
      <c r="C15" s="4" t="s">
        <v>184</v>
      </c>
      <c r="D15" s="4" t="s">
        <v>175</v>
      </c>
      <c r="E15" s="4" t="s">
        <v>74</v>
      </c>
      <c r="F15" s="4" t="s">
        <v>29</v>
      </c>
      <c r="G15" s="4" t="s">
        <v>36</v>
      </c>
      <c r="H15" s="4" t="s">
        <v>43</v>
      </c>
      <c r="I15" s="4" t="s">
        <v>51</v>
      </c>
      <c r="J15" s="4" t="s">
        <v>58</v>
      </c>
      <c r="K15" s="4" t="s">
        <v>66</v>
      </c>
      <c r="L15" s="4" t="s">
        <v>82</v>
      </c>
      <c r="M15" s="4" t="s">
        <v>89</v>
      </c>
      <c r="N15" s="4" t="s">
        <v>98</v>
      </c>
      <c r="O15" s="4" t="s">
        <v>107</v>
      </c>
    </row>
    <row r="16" spans="1:15" ht="90" x14ac:dyDescent="0.25">
      <c r="A16" s="2" t="s">
        <v>15</v>
      </c>
      <c r="B16" s="4" t="s">
        <v>171</v>
      </c>
      <c r="C16" s="27">
        <v>46539</v>
      </c>
      <c r="D16" s="4" t="s">
        <v>178</v>
      </c>
      <c r="E16" s="5" t="s">
        <v>20</v>
      </c>
      <c r="F16" s="5" t="s">
        <v>20</v>
      </c>
      <c r="G16" s="5" t="s">
        <v>20</v>
      </c>
      <c r="H16" s="5" t="s">
        <v>20</v>
      </c>
      <c r="I16" s="5" t="s">
        <v>20</v>
      </c>
      <c r="J16" s="5" t="s">
        <v>20</v>
      </c>
      <c r="K16" s="5" t="s">
        <v>20</v>
      </c>
      <c r="L16" s="5" t="s">
        <v>20</v>
      </c>
      <c r="M16" s="5" t="s">
        <v>20</v>
      </c>
      <c r="N16" s="5" t="s">
        <v>20</v>
      </c>
      <c r="O16" s="5" t="s">
        <v>20</v>
      </c>
    </row>
    <row r="17" spans="1:15" x14ac:dyDescent="0.25">
      <c r="A17" s="2" t="s">
        <v>16</v>
      </c>
      <c r="B17" s="3" t="s">
        <v>21</v>
      </c>
      <c r="C17" s="3" t="s">
        <v>21</v>
      </c>
      <c r="D17" s="3" t="s">
        <v>21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 t="s">
        <v>21</v>
      </c>
      <c r="O17" s="3" t="s">
        <v>21</v>
      </c>
    </row>
  </sheetData>
  <conditionalFormatting sqref="B13:O13">
    <cfRule type="cellIs" dxfId="3" priority="1" operator="equal">
      <formula>"Baixo"</formula>
    </cfRule>
    <cfRule type="cellIs" dxfId="2" priority="2" operator="equal">
      <formula>"Médio"</formula>
    </cfRule>
    <cfRule type="cellIs" dxfId="1" priority="3" operator="equal">
      <formula>"Elevado"</formula>
    </cfRule>
    <cfRule type="cellIs" dxfId="0" priority="4" operator="equal">
      <formula>"Extremo"</formula>
    </cfRule>
  </conditionalFormatting>
  <dataValidations count="4">
    <dataValidation type="list" sqref="B17:O17">
      <formula1>"Proposta,Validado,Em tratamento,Encerrado"</formula1>
    </dataValidation>
    <dataValidation type="list" sqref="B3:O3">
      <formula1>"Estratégico,Financeiro,Operacional,Regulamentar,Integridade"</formula1>
    </dataValidation>
    <dataValidation type="list" sqref="B14:O14">
      <formula1>"Evitar,Mitigar,Transferir,Aceitar"</formula1>
    </dataValidation>
    <dataValidation type="whole" showErrorMessage="1" error="Informe de 1 a 5" sqref="B10:O11">
      <formula1>1</formula1>
      <formula2>5</formula2>
    </dataValidation>
  </dataValidations>
  <pageMargins left="0.51181102362204722" right="0.51181102362204722" top="0.78740157480314965" bottom="0.78740157480314965" header="0.31496062992125984" footer="0.31496062992125984"/>
  <pageSetup scale="3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selection activeCell="A5" sqref="A5"/>
    </sheetView>
  </sheetViews>
  <sheetFormatPr defaultRowHeight="15" x14ac:dyDescent="0.25"/>
  <cols>
    <col min="1" max="1" width="16" customWidth="1"/>
    <col min="2" max="2" width="18" customWidth="1"/>
    <col min="3" max="3" width="80" customWidth="1"/>
  </cols>
  <sheetData>
    <row r="1" spans="1:3" ht="15.75" x14ac:dyDescent="0.25">
      <c r="A1" s="7"/>
    </row>
    <row r="3" spans="1:3" ht="15.75" x14ac:dyDescent="0.25">
      <c r="A3" s="7" t="s">
        <v>111</v>
      </c>
    </row>
    <row r="4" spans="1:3" x14ac:dyDescent="0.25">
      <c r="A4" s="2" t="s">
        <v>112</v>
      </c>
      <c r="B4" s="2" t="s">
        <v>113</v>
      </c>
      <c r="C4" s="2" t="s">
        <v>114</v>
      </c>
    </row>
    <row r="5" spans="1:3" x14ac:dyDescent="0.25">
      <c r="A5" s="4">
        <v>1</v>
      </c>
      <c r="B5" s="4" t="s">
        <v>115</v>
      </c>
      <c r="C5" s="4" t="s">
        <v>116</v>
      </c>
    </row>
    <row r="6" spans="1:3" x14ac:dyDescent="0.25">
      <c r="A6" s="4">
        <v>2</v>
      </c>
      <c r="B6" s="4" t="s">
        <v>117</v>
      </c>
      <c r="C6" s="4" t="s">
        <v>118</v>
      </c>
    </row>
    <row r="7" spans="1:3" x14ac:dyDescent="0.25">
      <c r="A7" s="4">
        <v>3</v>
      </c>
      <c r="B7" s="4" t="s">
        <v>119</v>
      </c>
      <c r="C7" s="4" t="s">
        <v>120</v>
      </c>
    </row>
    <row r="8" spans="1:3" x14ac:dyDescent="0.25">
      <c r="A8" s="4">
        <v>4</v>
      </c>
      <c r="B8" s="4" t="s">
        <v>121</v>
      </c>
      <c r="C8" s="4" t="s">
        <v>122</v>
      </c>
    </row>
    <row r="9" spans="1:3" ht="30" x14ac:dyDescent="0.25">
      <c r="A9" s="4">
        <v>5</v>
      </c>
      <c r="B9" s="4" t="s">
        <v>123</v>
      </c>
      <c r="C9" s="4" t="s">
        <v>124</v>
      </c>
    </row>
    <row r="12" spans="1:3" ht="15.75" x14ac:dyDescent="0.25">
      <c r="A12" s="7" t="s">
        <v>125</v>
      </c>
    </row>
    <row r="13" spans="1:3" x14ac:dyDescent="0.25">
      <c r="A13" s="2" t="s">
        <v>112</v>
      </c>
      <c r="B13" s="2" t="s">
        <v>113</v>
      </c>
      <c r="C13" s="2" t="s">
        <v>114</v>
      </c>
    </row>
    <row r="14" spans="1:3" x14ac:dyDescent="0.25">
      <c r="A14" s="4">
        <v>1</v>
      </c>
      <c r="B14" s="4" t="s">
        <v>126</v>
      </c>
      <c r="C14" s="4" t="s">
        <v>127</v>
      </c>
    </row>
    <row r="15" spans="1:3" x14ac:dyDescent="0.25">
      <c r="A15" s="4">
        <v>2</v>
      </c>
      <c r="B15" s="4" t="s">
        <v>128</v>
      </c>
      <c r="C15" s="4" t="s">
        <v>129</v>
      </c>
    </row>
    <row r="16" spans="1:3" x14ac:dyDescent="0.25">
      <c r="A16" s="4">
        <v>3</v>
      </c>
      <c r="B16" s="4" t="s">
        <v>130</v>
      </c>
      <c r="C16" s="4" t="s">
        <v>131</v>
      </c>
    </row>
    <row r="17" spans="1:3" x14ac:dyDescent="0.25">
      <c r="A17" s="4">
        <v>4</v>
      </c>
      <c r="B17" s="4" t="s">
        <v>132</v>
      </c>
      <c r="C17" s="4" t="s">
        <v>133</v>
      </c>
    </row>
    <row r="18" spans="1:3" x14ac:dyDescent="0.25">
      <c r="A18" s="4">
        <v>5</v>
      </c>
      <c r="B18" s="4" t="s">
        <v>134</v>
      </c>
      <c r="C18" s="4" t="s">
        <v>135</v>
      </c>
    </row>
    <row r="21" spans="1:3" ht="15.75" x14ac:dyDescent="0.25">
      <c r="A21" s="7" t="s">
        <v>136</v>
      </c>
    </row>
    <row r="22" spans="1:3" x14ac:dyDescent="0.25">
      <c r="A22" s="8" t="s">
        <v>11</v>
      </c>
      <c r="B22" s="8" t="s">
        <v>10</v>
      </c>
      <c r="C22" s="8" t="s">
        <v>137</v>
      </c>
    </row>
    <row r="23" spans="1:3" x14ac:dyDescent="0.25">
      <c r="A23" s="9" t="s">
        <v>117</v>
      </c>
      <c r="B23" s="4" t="s">
        <v>138</v>
      </c>
      <c r="C23" s="4" t="s">
        <v>139</v>
      </c>
    </row>
    <row r="24" spans="1:3" x14ac:dyDescent="0.25">
      <c r="A24" s="10" t="s">
        <v>119</v>
      </c>
      <c r="B24" s="4" t="s">
        <v>140</v>
      </c>
      <c r="C24" s="4" t="s">
        <v>141</v>
      </c>
    </row>
    <row r="25" spans="1:3" x14ac:dyDescent="0.25">
      <c r="A25" s="11" t="s">
        <v>142</v>
      </c>
      <c r="B25" s="4" t="s">
        <v>143</v>
      </c>
      <c r="C25" s="4" t="s">
        <v>144</v>
      </c>
    </row>
    <row r="26" spans="1:3" x14ac:dyDescent="0.25">
      <c r="A26" s="12" t="s">
        <v>145</v>
      </c>
      <c r="B26" s="4" t="s">
        <v>146</v>
      </c>
      <c r="C26" s="4" t="s">
        <v>147</v>
      </c>
    </row>
    <row r="28" spans="1:3" x14ac:dyDescent="0.25">
      <c r="A28" t="s">
        <v>148</v>
      </c>
    </row>
    <row r="29" spans="1:3" x14ac:dyDescent="0.25">
      <c r="A29" t="s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/>
  </sheetViews>
  <sheetFormatPr defaultRowHeight="15" x14ac:dyDescent="0.25"/>
  <cols>
    <col min="1" max="1" width="18" customWidth="1"/>
    <col min="2" max="2" width="14" customWidth="1"/>
    <col min="3" max="7" width="12" customWidth="1"/>
    <col min="9" max="9" width="18" customWidth="1"/>
  </cols>
  <sheetData>
    <row r="1" spans="1:10" ht="18.75" x14ac:dyDescent="0.3">
      <c r="A1" s="1" t="s">
        <v>150</v>
      </c>
    </row>
    <row r="2" spans="1:10" x14ac:dyDescent="0.25">
      <c r="A2" t="s">
        <v>151</v>
      </c>
    </row>
    <row r="4" spans="1:10" x14ac:dyDescent="0.25">
      <c r="B4" s="13" t="s">
        <v>152</v>
      </c>
      <c r="C4" s="25" t="s">
        <v>153</v>
      </c>
      <c r="D4" s="26"/>
      <c r="E4" s="26"/>
      <c r="F4" s="26"/>
      <c r="G4" s="26"/>
      <c r="I4" s="13" t="s">
        <v>154</v>
      </c>
    </row>
    <row r="5" spans="1:10" x14ac:dyDescent="0.25">
      <c r="A5" s="13" t="s">
        <v>155</v>
      </c>
      <c r="C5" s="15">
        <v>1</v>
      </c>
      <c r="D5" s="15">
        <v>2</v>
      </c>
      <c r="E5" s="15">
        <v>3</v>
      </c>
      <c r="F5" s="15">
        <v>4</v>
      </c>
      <c r="G5" s="15">
        <v>5</v>
      </c>
      <c r="I5" s="16" t="s">
        <v>117</v>
      </c>
      <c r="J5" s="3" t="e">
        <f>COUNTIF(#REF!,"Baixo")</f>
        <v>#REF!</v>
      </c>
    </row>
    <row r="6" spans="1:10" ht="36" customHeight="1" x14ac:dyDescent="0.25">
      <c r="B6" s="15">
        <v>5</v>
      </c>
      <c r="C6" s="17" t="e">
        <f>COUNTIFS(#REF!,5,#REF!,1)</f>
        <v>#REF!</v>
      </c>
      <c r="D6" s="18" t="e">
        <f>COUNTIFS(#REF!,5,#REF!,2)</f>
        <v>#REF!</v>
      </c>
      <c r="E6" s="18" t="e">
        <f>COUNTIFS(#REF!,5,#REF!,3)</f>
        <v>#REF!</v>
      </c>
      <c r="F6" s="19" t="e">
        <f>COUNTIFS(#REF!,5,#REF!,4)</f>
        <v>#REF!</v>
      </c>
      <c r="G6" s="19" t="e">
        <f>COUNTIFS(#REF!,5,#REF!,5)</f>
        <v>#REF!</v>
      </c>
      <c r="I6" s="20" t="s">
        <v>119</v>
      </c>
      <c r="J6" s="3" t="e">
        <f>COUNTIF(#REF!,"Médio")</f>
        <v>#REF!</v>
      </c>
    </row>
    <row r="7" spans="1:10" ht="36" customHeight="1" x14ac:dyDescent="0.25">
      <c r="B7" s="15">
        <v>4</v>
      </c>
      <c r="C7" s="21" t="e">
        <f>COUNTIFS(#REF!,4,#REF!,1)</f>
        <v>#REF!</v>
      </c>
      <c r="D7" s="17" t="e">
        <f>COUNTIFS(#REF!,4,#REF!,2)</f>
        <v>#REF!</v>
      </c>
      <c r="E7" s="18" t="e">
        <f>COUNTIFS(#REF!,4,#REF!,3)</f>
        <v>#REF!</v>
      </c>
      <c r="F7" s="18" t="e">
        <f>COUNTIFS(#REF!,4,#REF!,4)</f>
        <v>#REF!</v>
      </c>
      <c r="G7" s="19" t="e">
        <f>COUNTIFS(#REF!,4,#REF!,5)</f>
        <v>#REF!</v>
      </c>
      <c r="I7" s="22" t="s">
        <v>142</v>
      </c>
      <c r="J7" s="3" t="e">
        <f>COUNTIF(#REF!,"Elevado")</f>
        <v>#REF!</v>
      </c>
    </row>
    <row r="8" spans="1:10" ht="36" customHeight="1" x14ac:dyDescent="0.25">
      <c r="B8" s="15">
        <v>3</v>
      </c>
      <c r="C8" s="21" t="e">
        <f>COUNTIFS(#REF!,3,#REF!,1)</f>
        <v>#REF!</v>
      </c>
      <c r="D8" s="17" t="e">
        <f>COUNTIFS(#REF!,3,#REF!,2)</f>
        <v>#REF!</v>
      </c>
      <c r="E8" s="17" t="e">
        <f>COUNTIFS(#REF!,3,#REF!,3)</f>
        <v>#REF!</v>
      </c>
      <c r="F8" s="18" t="e">
        <f>COUNTIFS(#REF!,3,#REF!,4)</f>
        <v>#REF!</v>
      </c>
      <c r="G8" s="18" t="e">
        <f>COUNTIFS(#REF!,3,#REF!,5)</f>
        <v>#REF!</v>
      </c>
      <c r="I8" s="23" t="s">
        <v>145</v>
      </c>
      <c r="J8" s="3" t="e">
        <f>COUNTIF(#REF!,"Extremo")</f>
        <v>#REF!</v>
      </c>
    </row>
    <row r="9" spans="1:10" ht="36" customHeight="1" x14ac:dyDescent="0.25">
      <c r="B9" s="15">
        <v>2</v>
      </c>
      <c r="C9" s="21" t="e">
        <f>COUNTIFS(#REF!,2,#REF!,1)</f>
        <v>#REF!</v>
      </c>
      <c r="D9" s="21" t="e">
        <f>COUNTIFS(#REF!,2,#REF!,2)</f>
        <v>#REF!</v>
      </c>
      <c r="E9" s="17" t="e">
        <f>COUNTIFS(#REF!,2,#REF!,3)</f>
        <v>#REF!</v>
      </c>
      <c r="F9" s="17" t="e">
        <f>COUNTIFS(#REF!,2,#REF!,4)</f>
        <v>#REF!</v>
      </c>
      <c r="G9" s="18" t="e">
        <f>COUNTIFS(#REF!,2,#REF!,5)</f>
        <v>#REF!</v>
      </c>
      <c r="I9" s="13" t="s">
        <v>156</v>
      </c>
      <c r="J9" s="14" t="e">
        <f>SUM(J5:J8)</f>
        <v>#REF!</v>
      </c>
    </row>
    <row r="10" spans="1:10" ht="36" customHeight="1" x14ac:dyDescent="0.25">
      <c r="B10" s="15">
        <v>1</v>
      </c>
      <c r="C10" s="21" t="e">
        <f>COUNTIFS(#REF!,1,#REF!,1)</f>
        <v>#REF!</v>
      </c>
      <c r="D10" s="21" t="e">
        <f>COUNTIFS(#REF!,1,#REF!,2)</f>
        <v>#REF!</v>
      </c>
      <c r="E10" s="21" t="e">
        <f>COUNTIFS(#REF!,1,#REF!,3)</f>
        <v>#REF!</v>
      </c>
      <c r="F10" s="21" t="e">
        <f>COUNTIFS(#REF!,1,#REF!,4)</f>
        <v>#REF!</v>
      </c>
      <c r="G10" s="17" t="e">
        <f>COUNTIFS(#REF!,1,#REF!,5)</f>
        <v>#REF!</v>
      </c>
    </row>
    <row r="11" spans="1:10" x14ac:dyDescent="0.25">
      <c r="I11" s="13" t="s">
        <v>157</v>
      </c>
    </row>
    <row r="12" spans="1:10" x14ac:dyDescent="0.25">
      <c r="I12" s="24" t="s">
        <v>17</v>
      </c>
      <c r="J12" s="3" t="e">
        <f>COUNTIF(#REF!,"Estratégico")</f>
        <v>#REF!</v>
      </c>
    </row>
    <row r="13" spans="1:10" x14ac:dyDescent="0.25">
      <c r="I13" s="24" t="s">
        <v>23</v>
      </c>
      <c r="J13" s="3" t="e">
        <f>COUNTIF(#REF!,"Financeiro")</f>
        <v>#REF!</v>
      </c>
    </row>
    <row r="14" spans="1:10" x14ac:dyDescent="0.25">
      <c r="I14" s="24" t="s">
        <v>45</v>
      </c>
      <c r="J14" s="3" t="e">
        <f>COUNTIF(#REF!,"Operacional")</f>
        <v>#REF!</v>
      </c>
    </row>
    <row r="15" spans="1:10" x14ac:dyDescent="0.25">
      <c r="I15" s="24" t="s">
        <v>92</v>
      </c>
      <c r="J15" s="3" t="e">
        <f>COUNTIF(#REF!,"Regulamentar")</f>
        <v>#REF!</v>
      </c>
    </row>
    <row r="16" spans="1:10" x14ac:dyDescent="0.25">
      <c r="I16" s="24" t="s">
        <v>109</v>
      </c>
      <c r="J16" s="3" t="e">
        <f>COUNTIF(#REF!,"Integridade")</f>
        <v>#REF!</v>
      </c>
    </row>
  </sheetData>
  <mergeCells count="1">
    <mergeCell ref="C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Quadro_Riscos</vt:lpstr>
      <vt:lpstr>Critérios</vt:lpstr>
      <vt:lpstr>Matriz de Riscos</vt:lpstr>
      <vt:lpstr>Quadro_Riscos!Area_de_impressao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Clarice Amaral Paiva</cp:lastModifiedBy>
  <cp:lastPrinted>2026-10-28T16:11:56Z</cp:lastPrinted>
  <dcterms:created xsi:type="dcterms:W3CDTF">2026-10-28T13:23:14Z</dcterms:created>
  <dcterms:modified xsi:type="dcterms:W3CDTF">2026-10-28T18:21:25Z</dcterms:modified>
</cp:coreProperties>
</file>